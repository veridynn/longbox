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064d35d30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SP" sheetId="1" r:id="Rb25d291c32184efe"/>
    <x:sheet xmlns:r="http://schemas.openxmlformats.org/officeDocument/2006/relationships" name="Historie" sheetId="2" r:id="R10f86071ebc247e5"/>
    <x:sheet xmlns:r="http://schemas.openxmlformats.org/officeDocument/2006/relationships" name="AP-Beschreibung" sheetId="3" r:id="Rfe93075642384b68"/>
    <x:sheet xmlns:r="http://schemas.openxmlformats.org/officeDocument/2006/relationships" name="Zeitplan und Statusübersicht" sheetId="4" r:id="Rb85fb41eaa32459b"/>
    <x:sheet xmlns:r="http://schemas.openxmlformats.org/officeDocument/2006/relationships" name="Testprotokolle" sheetId="5" r:id="Re77bbed7e40743a6"/>
    <x:sheet xmlns:r="http://schemas.openxmlformats.org/officeDocument/2006/relationships" name="Hinweise zu dieser Datei" sheetId="6" r:id="R8e912dcf779141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4B183"/>
      </x:patternFill>
    </x:fill>
    <x:fill>
      <x:patternFill patternType="solid">
        <x:fgColor rgb="FFD9C2E9"/>
      </x:patternFill>
    </x:fill>
    <x:fill>
      <x:patternFill patternType="solid">
        <x:fgColor rgb="FFC6E0B4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vertical="top"/>
    </x:xf>
    <x:xf numFmtId="200" fontId="2" fillId="3" borderId="3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200" fontId="2" fillId="3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0" fontId="2" fillId="4" borderId="4" xfId="0" applyNumberFormat="1" applyFont="1" applyFill="1" applyBorder="1"/>
    <x:xf numFmtId="200" fontId="0" fillId="5" borderId="5" xfId="0" applyNumberFormat="1" applyFont="1" applyFill="1" applyBorder="1"/>
    <x:xf numFmtId="0" fontId="2" fillId="4" borderId="6" xfId="0" applyNumberFormat="1" applyFont="1" applyFill="1" applyBorder="1"/>
    <x:xf numFmtId="200" fontId="0" fillId="5" borderId="7" xfId="0" applyNumberFormat="1" applyFont="1" applyFill="1" applyBorder="1"/>
    <x:xf numFmtId="0" fontId="0" fillId="5" borderId="7" xfId="0" applyNumberFormat="1" applyFont="1" applyFill="1" applyBorder="1"/>
    <x:xf numFmtId="0" fontId="2" fillId="4" borderId="8" xfId="0" applyNumberFormat="1" applyFont="1" applyFill="1" applyBorder="1"/>
    <x:xf numFmtId="0" fontId="0" fillId="5" borderId="9" xfId="0" applyNumberFormat="1" applyFont="1" applyFill="1" applyBorder="1"/>
    <x:xf numFmtId="0" fontId="2" fillId="4" borderId="4" xfId="0" applyNumberFormat="1" applyFont="1" applyFill="1" applyBorder="1" applyAlignment="1">
      <x:alignment vertical="top"/>
    </x:xf>
    <x:xf numFmtId="200" fontId="0" fillId="5" borderId="5" xfId="0" applyNumberFormat="1" applyFont="1" applyFill="1" applyBorder="1" applyAlignment="1">
      <x:alignment vertical="top"/>
    </x:xf>
    <x:xf numFmtId="0" fontId="2" fillId="4" borderId="6" xfId="0" applyNumberFormat="1" applyFont="1" applyFill="1" applyBorder="1" applyAlignment="1">
      <x:alignment vertical="top"/>
    </x:xf>
    <x:xf numFmtId="200" fontId="0" fillId="5" borderId="7" xfId="0" applyNumberFormat="1" applyFont="1" applyFill="1" applyBorder="1" applyAlignment="1">
      <x:alignment vertical="top"/>
    </x:xf>
    <x:xf numFmtId="0" fontId="0" fillId="5" borderId="7" xfId="0" applyNumberFormat="1" applyFont="1" applyFill="1" applyBorder="1" applyAlignment="1">
      <x:alignment vertical="top"/>
    </x:xf>
    <x:xf numFmtId="0" fontId="2" fillId="4" borderId="8" xfId="0" applyNumberFormat="1" applyFont="1" applyFill="1" applyBorder="1" applyAlignment="1">
      <x:alignment vertical="top"/>
    </x:xf>
    <x:xf numFmtId="0" fontId="0" fillId="5" borderId="9" xfId="0" applyNumberFormat="1" applyFont="1" applyFill="1" applyBorder="1" applyAlignment="1">
      <x:alignment vertical="top"/>
    </x:xf>
    <x:xf numFmtId="0" fontId="2" fillId="4" borderId="4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200" fontId="0" fillId="5" borderId="7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7" xfId="0" applyNumberFormat="1" applyFont="1" applyFill="1" applyBorder="1" applyAlignment="1">
      <x:alignment vertical="top" wrapText="1"/>
    </x:xf>
    <x:xf numFmtId="0" fontId="0" fillId="7" borderId="8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201" fontId="0" fillId="8" borderId="10" xfId="0" applyNumberFormat="1" applyFont="1" applyFill="1" applyBorder="1" applyAlignment="1">
      <x:alignment vertical="top" wrapText="1"/>
    </x:xf>
    <x:xf numFmtId="201" fontId="0" fillId="8" borderId="0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7" borderId="1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1" xfId="0" applyNumberFormat="1" applyFont="1" applyFill="1" applyBorder="1"/>
    <x:xf numFmtId="0" fontId="2" fillId="9" borderId="2" xfId="0" applyNumberFormat="1" applyFont="1" applyFill="1" applyBorder="1"/>
    <x:xf numFmtId="0" fontId="2" fillId="9" borderId="3" xfId="0" applyNumberFormat="1" applyFont="1" applyFill="1" applyBorder="1"/>
    <x:xf numFmtId="0" fontId="2" fillId="9" borderId="1" xfId="0" applyNumberFormat="1" applyFont="1" applyFill="1" applyBorder="1" applyAlignment="1">
      <x:alignment vertical="top"/>
    </x:xf>
    <x:xf numFmtId="0" fontId="2" fillId="9" borderId="2" xfId="0" applyNumberFormat="1" applyFont="1" applyFill="1" applyBorder="1" applyAlignment="1">
      <x:alignment vertical="top"/>
    </x:xf>
    <x:xf numFmtId="0" fontId="2" fillId="9" borderId="3" xfId="0" applyNumberFormat="1" applyFont="1" applyFill="1" applyBorder="1" applyAlignment="1">
      <x:alignment vertical="top"/>
    </x:xf>
    <x:xf numFmtId="0" fontId="2" fillId="9" borderId="1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/>
    <x:xf numFmtId="200" fontId="0" fillId="0" borderId="1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10" xfId="0" applyNumberFormat="1" applyFont="1" applyFill="1" applyBorder="1"/>
    <x:xf numFmtId="20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7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11" xfId="0" applyNumberFormat="1" applyFont="1" applyFill="1" applyBorder="1"/>
    <x:xf numFmtId="0" fontId="0" fillId="3" borderId="9" xfId="0" applyNumberFormat="1" applyFont="1" applyFill="1" applyBorder="1"/>
    <x:xf numFmtId="0" fontId="0" fillId="3" borderId="4" xfId="0" applyNumberFormat="1" applyFont="1" applyFill="1" applyBorder="1" applyAlignment="1">
      <x:alignment vertical="top"/>
    </x:xf>
    <x:xf numFmtId="0" fontId="0" fillId="3" borderId="10" xfId="0" applyNumberFormat="1" applyFont="1" applyFill="1" applyBorder="1" applyAlignment="1">
      <x:alignment vertical="top"/>
    </x:xf>
    <x:xf numFmtId="200" fontId="0" fillId="3" borderId="5" xfId="0" applyNumberFormat="1" applyFont="1" applyFill="1" applyBorder="1" applyAlignment="1">
      <x:alignment vertical="top"/>
    </x:xf>
    <x:xf numFmtId="0" fontId="0" fillId="3" borderId="6" xfId="0" applyNumberFormat="1" applyFont="1" applyFill="1" applyBorder="1" applyAlignment="1">
      <x:alignment vertical="top"/>
    </x:xf>
    <x:xf numFmtId="200" fontId="0" fillId="3" borderId="0" xfId="0" applyNumberFormat="1" applyFont="1" applyFill="1" applyBorder="1" applyAlignment="1">
      <x:alignment vertical="top"/>
    </x:xf>
    <x:xf numFmtId="200" fontId="0" fillId="3" borderId="7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0" fillId="3" borderId="7" xfId="0" applyNumberFormat="1" applyFont="1" applyFill="1" applyBorder="1" applyAlignment="1">
      <x:alignment vertical="top"/>
    </x:xf>
    <x:xf numFmtId="0" fontId="0" fillId="3" borderId="8" xfId="0" applyNumberFormat="1" applyFont="1" applyFill="1" applyBorder="1" applyAlignment="1">
      <x:alignment vertical="top"/>
    </x:xf>
    <x:xf numFmtId="0" fontId="0" fillId="3" borderId="11" xfId="0" applyNumberFormat="1" applyFont="1" applyFill="1" applyBorder="1" applyAlignment="1">
      <x:alignment vertical="top"/>
    </x:xf>
    <x:xf numFmtId="0" fontId="0" fillId="3" borderId="9" xfId="0" applyNumberFormat="1" applyFont="1" applyFill="1" applyBorder="1" applyAlignment="1">
      <x:alignment vertical="top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20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200" fontId="0" fillId="3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/>
    <x:xf numFmtId="200" fontId="0" fillId="0" borderId="11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200" fontId="0" fillId="7" borderId="11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/>
    <x:xf numFmtId="0" fontId="2" fillId="3" borderId="10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200" fontId="2" fillId="3" borderId="11" xfId="0" applyNumberFormat="1" applyFont="1" applyFill="1" applyBorder="1"/>
    <x:xf numFmtId="0" fontId="2" fillId="3" borderId="11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top"/>
    </x:xf>
    <x:xf numFmtId="0" fontId="2" fillId="3" borderId="10" xfId="0" applyNumberFormat="1" applyFont="1" applyFill="1" applyBorder="1" applyAlignment="1">
      <x:alignment vertical="top"/>
    </x:xf>
    <x:xf numFmtId="0" fontId="2" fillId="3" borderId="5" xfId="0" applyNumberFormat="1" applyFont="1" applyFill="1" applyBorder="1" applyAlignment="1">
      <x:alignment vertical="top"/>
    </x:xf>
    <x:xf numFmtId="0" fontId="2" fillId="3" borderId="6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7" xfId="0" applyNumberFormat="1" applyFont="1" applyFill="1" applyBorder="1" applyAlignment="1">
      <x:alignment vertical="top"/>
    </x:xf>
    <x:xf numFmtId="0" fontId="2" fillId="3" borderId="8" xfId="0" applyNumberFormat="1" applyFont="1" applyFill="1" applyBorder="1" applyAlignment="1">
      <x:alignment vertical="top"/>
    </x:xf>
    <x:xf numFmtId="200" fontId="2" fillId="3" borderId="11" xfId="0" applyNumberFormat="1" applyFont="1" applyFill="1" applyBorder="1" applyAlignment="1">
      <x:alignment vertical="top"/>
    </x:xf>
    <x:xf numFmtId="0" fontId="2" fillId="3" borderId="11" xfId="0" applyNumberFormat="1" applyFont="1" applyFill="1" applyBorder="1" applyAlignment="1">
      <x:alignment vertical="top"/>
    </x:xf>
    <x:xf numFmtId="0" fontId="2" fillId="3" borderId="9" xfId="0" applyNumberFormat="1" applyFont="1" applyFill="1" applyBorder="1" applyAlignment="1">
      <x:alignment vertical="top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200" fontId="2" fillId="3" borderId="11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46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44cbc9a764b26" /><Relationship Type="http://schemas.openxmlformats.org/officeDocument/2006/relationships/theme" Target="/xl/theme/theme1.xml" Id="R31e0053a42214342" /><Relationship Type="http://schemas.openxmlformats.org/officeDocument/2006/relationships/sharedStrings" Target="/xl/sharedStrings.xml" Id="R3fdb219cfd0744a0" /><Relationship Type="http://schemas.openxmlformats.org/officeDocument/2006/relationships/worksheet" Target="/xl/worksheets/sheet1.xml" Id="Rb25d291c32184efe" /><Relationship Type="http://schemas.openxmlformats.org/officeDocument/2006/relationships/worksheet" Target="/xl/worksheets/sheet2.xml" Id="R10f86071ebc247e5" /><Relationship Type="http://schemas.openxmlformats.org/officeDocument/2006/relationships/worksheet" Target="/xl/worksheets/sheet3.xml" Id="Rfe93075642384b68" /><Relationship Type="http://schemas.openxmlformats.org/officeDocument/2006/relationships/worksheet" Target="/xl/worksheets/sheet4.xml" Id="Rb85fb41eaa32459b" /><Relationship Type="http://schemas.openxmlformats.org/officeDocument/2006/relationships/worksheet" Target="/xl/worksheets/sheet5.xml" Id="Re77bbed7e40743a6" /><Relationship Type="http://schemas.openxmlformats.org/officeDocument/2006/relationships/worksheet" Target="/xl/worksheets/sheet6.xml" Id="R8e912dcf779141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9" hidden="0" customWidth="1"/>
    <x:col min="4" max="4" width="10" hidden="0" customWidth="1"/>
    <x:col min="5" max="5" width="18" hidden="0" customWidth="1"/>
    <x:col min="6" max="6" width="38" hidden="0" customWidth="1"/>
  </x:cols>
  <x:sheetData>
    <x:row r="1" ht="30" customHeight="1">
      <x:c r="A1" s="4" t="str">
        <x:v>Projektstrukturplan – Longbox</x:v>
      </x:c>
    </x:row>
    <x:row r="3">
      <x:c r="A3" s="14" t="str">
        <x:v>Projekt</x:v>
      </x:c>
      <x:c r="B3" s="15" t="str">
        <x:v>Longbox V1.0</x:v>
      </x:c>
      <x:c r="C3" s="15" t="str">
        <x:v>Projektleitung</x:v>
      </x:c>
      <x:c r="D3" s="15" t="str">
        <x:v>Bogdan</x:v>
      </x:c>
      <x:c r="E3" s="15" t="str">
        <x:v>Stand</x:v>
      </x:c>
      <x:c r="F3" s="16" t="str">
        <x:v>15.07.2026</x:v>
      </x:c>
    </x:row>
    <x:row r="5">
      <x:c r="A5" s="36" t="str">
        <x:v>Geplanter Start</x:v>
      </x:c>
      <x:c r="B5" s="37" t="str">
        <x:v>12.05.2026</x:v>
      </x:c>
      <x:c r="C5" t="str"/>
    </x:row>
    <x:row r="6">
      <x:c r="A6" s="38" t="str">
        <x:v>Geplantes Ende</x:v>
      </x:c>
      <x:c r="B6" s="39" t="str">
        <x:v>15.07.2026</x:v>
      </x:c>
      <x:c r="C6" t="str"/>
    </x:row>
    <x:row r="7">
      <x:c r="A7" s="38" t="str">
        <x:v>Kalendertage</x:v>
      </x:c>
      <x:c r="B7" s="40" t="n">
        <x:f>DATE(2026,7,15)-DATE(2026,5,12)+1</x:f>
        <x:v>65</x:v>
      </x:c>
      <x:c r="C7" t="str"/>
    </x:row>
    <x:row r="8">
      <x:c r="A8" s="41" t="str">
        <x:v>Geplanter Aufwand (AT)</x:v>
      </x:c>
      <x:c r="B8" s="42" t="n">
        <x:f>SUM(D12:D31)</x:f>
        <x:v>45</x:v>
      </x:c>
      <x:c r="C8" t="str"/>
    </x:row>
    <x:row r="10">
      <x:c r="A10" s="54" t="str">
        <x:v>PSP-Code</x:v>
      </x:c>
      <x:c r="B10" s="55" t="str">
        <x:v>Teilaufgabe / Arbeitspaket</x:v>
      </x:c>
      <x:c r="C10" s="55" t="str">
        <x:v>Ergebnis / Lieferobjekt</x:v>
      </x:c>
      <x:c r="D10" s="55" t="str">
        <x:v>Plan-AT</x:v>
      </x:c>
      <x:c r="E10" s="55" t="str">
        <x:v>Status</x:v>
      </x:c>
      <x:c r="F10" s="56" t="str">
        <x:v>Hinweis</x:v>
      </x:c>
    </x:row>
    <x:row r="12" ht="34" customHeight="1">
      <x:c r="A12" s="90" t="str">
        <x:v>1</x:v>
      </x:c>
      <x:c r="B12" s="91" t="str">
        <x:v>Projektstart</x:v>
      </x:c>
      <x:c r="C12" s="91" t="str">
        <x:v>Projektauftrag und Arbeitsumgebung</x:v>
      </x:c>
      <x:c r="D12" s="96" t="n">
        <x:v>2</x:v>
      </x:c>
      <x:c r="E12" s="91" t="str">
        <x:v>fertig</x:v>
      </x:c>
      <x:c r="F12" s="92" t="str">
        <x:v>Projektstart aus Git-Historie rekonstruiert</x:v>
      </x:c>
    </x:row>
    <x:row r="13" ht="34" customHeight="1">
      <x:c r="A13" s="93" t="str">
        <x:v>1.1</x:v>
      </x:c>
      <x:c r="B13" s="94" t="str">
        <x:v>Initiierung und Anforderungen</x:v>
      </x:c>
      <x:c r="C13" s="94" t="str">
        <x:v>Zielbild, Muss-/Kann-Anforderungen</x:v>
      </x:c>
      <x:c r="D13" s="97" t="n">
        <x:v>3</x:v>
      </x:c>
      <x:c r="E13" s="94" t="str">
        <x:v>fertig</x:v>
      </x:c>
      <x:c r="F13" s="95" t="str">
        <x:v>Anforderungen iterativ präzisiert</x:v>
      </x:c>
    </x:row>
    <x:row r="14" ht="34" customHeight="1">
      <x:c r="A14" s="84" t="str">
        <x:v>MS1</x:v>
      </x:c>
      <x:c r="B14" s="85" t="str">
        <x:v>Planungsbasis bestätigt</x:v>
      </x:c>
      <x:c r="C14" s="85" t="str">
        <x:v>Freigabe für Feinentwurf</x:v>
      </x:c>
      <x:c r="D14" s="98" t="str"/>
      <x:c r="E14" s="85" t="str">
        <x:v>fertig</x:v>
      </x:c>
      <x:c r="F14" s="86" t="str">
        <x:v>Meilenstein</x:v>
      </x:c>
    </x:row>
    <x:row r="15" ht="34" customHeight="1">
      <x:c r="A15" s="93" t="str">
        <x:v>2</x:v>
      </x:c>
      <x:c r="B15" s="94" t="str">
        <x:v>Pflichtenheft</x:v>
      </x:c>
      <x:c r="C15" s="94" t="str">
        <x:v>Technisches Umsetzungskonzept</x:v>
      </x:c>
      <x:c r="D15" s="97" t="n">
        <x:v>2</x:v>
      </x:c>
      <x:c r="E15" s="94" t="str">
        <x:v>fertig</x:v>
      </x:c>
      <x:c r="F15" s="95" t="str">
        <x:v>Nachträglich konsolidiert</x:v>
      </x:c>
    </x:row>
    <x:row r="16" ht="34" customHeight="1">
      <x:c r="A16" s="84" t="str">
        <x:v>MS2</x:v>
      </x:c>
      <x:c r="B16" s="85" t="str">
        <x:v>Pflichtenheft als Basis</x:v>
      </x:c>
      <x:c r="C16" s="85" t="str">
        <x:v>Umfang und Abnahmekriterien dokumentiert</x:v>
      </x:c>
      <x:c r="D16" s="98" t="str"/>
      <x:c r="E16" s="85" t="str">
        <x:v>fertig</x:v>
      </x:c>
      <x:c r="F16" s="86" t="str">
        <x:v>Meilenstein</x:v>
      </x:c>
    </x:row>
    <x:row r="17" ht="34" customHeight="1">
      <x:c r="A17" s="93" t="str">
        <x:v>3</x:v>
      </x:c>
      <x:c r="B17" s="94" t="str">
        <x:v>Feinentwurf</x:v>
      </x:c>
      <x:c r="C17" s="94" t="str">
        <x:v>Architektur, Datenmodell, UI-Struktur</x:v>
      </x:c>
      <x:c r="D17" s="97" t="n">
        <x:v>4</x:v>
      </x:c>
      <x:c r="E17" s="94" t="str">
        <x:v>fertig</x:v>
      </x:c>
      <x:c r="F17" s="95" t="str">
        <x:v>SvelteKit und InstantDB</x:v>
      </x:c>
    </x:row>
    <x:row r="18" ht="34" customHeight="1">
      <x:c r="A18" s="93" t="str">
        <x:v>4</x:v>
      </x:c>
      <x:c r="B18" s="94" t="str">
        <x:v>Umsetzung</x:v>
      </x:c>
      <x:c r="C18" s="94" t="str">
        <x:v>Lauffähige PWA</x:v>
      </x:c>
      <x:c r="D18" s="97" t="str"/>
      <x:c r="E18" s="94" t="str">
        <x:v>fertig</x:v>
      </x:c>
      <x:c r="F18" s="95" t="str">
        <x:v>Teilaufgabe</x:v>
      </x:c>
    </x:row>
    <x:row r="19" ht="34" customHeight="1">
      <x:c r="A19" s="78" t="str">
        <x:v>4.1</x:v>
      </x:c>
      <x:c r="B19" s="79" t="str">
        <x:v>Datenmodell und InstantDB</x:v>
      </x:c>
      <x:c r="C19" s="79" t="str">
        <x:v>Schema und lokale Datenhaltung</x:v>
      </x:c>
      <x:c r="D19" s="99" t="n">
        <x:v>3</x:v>
      </x:c>
      <x:c r="E19" s="79" t="str">
        <x:v>fertig</x:v>
      </x:c>
      <x:c r="F19" s="80" t="str"/>
    </x:row>
    <x:row r="20" ht="34" customHeight="1">
      <x:c r="A20" s="78" t="str">
        <x:v>4.2</x:v>
      </x:c>
      <x:c r="B20" s="79" t="str">
        <x:v>Katalogsuche und Import</x:v>
      </x:c>
      <x:c r="C20" s="79" t="str">
        <x:v>Suche, Import und Dublettenprüfung</x:v>
      </x:c>
      <x:c r="D20" s="99" t="n">
        <x:v>6</x:v>
      </x:c>
      <x:c r="E20" s="79" t="str">
        <x:v>fertig</x:v>
      </x:c>
      <x:c r="F20" s="80" t="str">
        <x:v>Comic-Vine-Integration</x:v>
      </x:c>
    </x:row>
    <x:row r="21" ht="34" customHeight="1">
      <x:c r="A21" s="78" t="str">
        <x:v>4.3</x:v>
      </x:c>
      <x:c r="B21" s="79" t="str">
        <x:v>Authentifizierung und PWA</x:v>
      </x:c>
      <x:c r="C21" s="79" t="str">
        <x:v>Login, Offline-Grundlage, Service Worker</x:v>
      </x:c>
      <x:c r="D21" s="99" t="n">
        <x:v>4</x:v>
      </x:c>
      <x:c r="E21" s="79" t="str">
        <x:v>fertig</x:v>
      </x:c>
      <x:c r="F21" s="80" t="str"/>
    </x:row>
    <x:row r="22" ht="34" customHeight="1">
      <x:c r="A22" s="78" t="str">
        <x:v>4.4</x:v>
      </x:c>
      <x:c r="B22" s="79" t="str">
        <x:v>Ausgabendetails</x:v>
      </x:c>
      <x:c r="C22" s="79" t="str">
        <x:v>Metadaten, Notizen, Lesestatus, Bewertung</x:v>
      </x:c>
      <x:c r="D22" s="99" t="n">
        <x:v>5</x:v>
      </x:c>
      <x:c r="E22" s="79" t="str">
        <x:v>fertig</x:v>
      </x:c>
      <x:c r="F22" s="80" t="str"/>
    </x:row>
    <x:row r="23" ht="34" customHeight="1">
      <x:c r="A23" s="78" t="str">
        <x:v>4.5</x:v>
      </x:c>
      <x:c r="B23" s="79" t="str">
        <x:v>Sammlung und Listen</x:v>
      </x:c>
      <x:c r="C23" s="79" t="str">
        <x:v>Sammlungsansicht und benutzerdefinierte Listen</x:v>
      </x:c>
      <x:c r="D23" s="99" t="n">
        <x:v>6</x:v>
      </x:c>
      <x:c r="E23" s="79" t="str">
        <x:v>fertig</x:v>
      </x:c>
      <x:c r="F23" s="80" t="str"/>
    </x:row>
    <x:row r="24" ht="34" customHeight="1">
      <x:c r="A24" s="78" t="str">
        <x:v>4.6</x:v>
      </x:c>
      <x:c r="B24" s="79" t="str">
        <x:v>Stabilisierung und Abschluss</x:v>
      </x:c>
      <x:c r="C24" s="79" t="str">
        <x:v>Bereinigter Abschlussstand</x:v>
      </x:c>
      <x:c r="D24" s="99" t="n">
        <x:v>4</x:v>
      </x:c>
      <x:c r="E24" s="79" t="str">
        <x:v>fertig</x:v>
      </x:c>
      <x:c r="F24" s="80" t="str">
        <x:v>Projektarbeit abgeschlossen</x:v>
      </x:c>
    </x:row>
    <x:row r="25" ht="34" customHeight="1">
      <x:c r="A25" s="93" t="str">
        <x:v>5</x:v>
      </x:c>
      <x:c r="B25" s="94" t="str">
        <x:v>Qualitätssicherung</x:v>
      </x:c>
      <x:c r="C25" s="94" t="str">
        <x:v>Test- und Prüfnachweise</x:v>
      </x:c>
      <x:c r="D25" s="97" t="str"/>
      <x:c r="E25" s="94" t="str">
        <x:v>fertig</x:v>
      </x:c>
      <x:c r="F25" s="95" t="str">
        <x:v>Teilaufgabe abgeschlossen</x:v>
      </x:c>
    </x:row>
    <x:row r="26" ht="34" customHeight="1">
      <x:c r="A26" s="78" t="str">
        <x:v>5.1</x:v>
      </x:c>
      <x:c r="B26" s="79" t="str">
        <x:v>Unit- und Komponententests</x:v>
      </x:c>
      <x:c r="C26" s="79" t="str">
        <x:v>107 automatisierte Tests</x:v>
      </x:c>
      <x:c r="D26" s="99" t="n">
        <x:v>4</x:v>
      </x:c>
      <x:c r="E26" s="79" t="str">
        <x:v>fertig</x:v>
      </x:c>
      <x:c r="F26" s="80" t="str">
        <x:v>107/107 bestanden</x:v>
      </x:c>
    </x:row>
    <x:row r="27" ht="34" customHeight="1">
      <x:c r="A27" s="78" t="str">
        <x:v>5.2</x:v>
      </x:c>
      <x:c r="B27" s="79" t="str">
        <x:v>Build und statische Prüfung</x:v>
      </x:c>
      <x:c r="C27" s="79" t="str">
        <x:v>Produktionsbuild und Typprüfung</x:v>
      </x:c>
      <x:c r="D27" s="99" t="n">
        <x:v>1</x:v>
      </x:c>
      <x:c r="E27" s="79" t="str">
        <x:v>fertig</x:v>
      </x:c>
      <x:c r="F27" s="80" t="str">
        <x:v>Produktionsbuild abgeschlossen; technische Hinweise dokumentiert</x:v>
      </x:c>
    </x:row>
    <x:row r="28" ht="34" customHeight="1">
      <x:c r="A28" s="84" t="str">
        <x:v>MS3</x:v>
      </x:c>
      <x:c r="B28" s="85" t="str">
        <x:v>Technische Endabnahme</x:v>
      </x:c>
      <x:c r="C28" s="85" t="str">
        <x:v>Abnahmeentscheidung</x:v>
      </x:c>
      <x:c r="D28" s="98" t="str"/>
      <x:c r="E28" s="85" t="str">
        <x:v>fertig</x:v>
      </x:c>
      <x:c r="F28" s="86" t="str">
        <x:v>Abnahme dokumentiert</x:v>
      </x:c>
    </x:row>
    <x:row r="29" ht="34" customHeight="1">
      <x:c r="A29" s="93" t="str">
        <x:v>6</x:v>
      </x:c>
      <x:c r="B29" s="94" t="str">
        <x:v>Projektdokumentation</x:v>
      </x:c>
      <x:c r="C29" s="94" t="str">
        <x:v>PSP, Pflichtenheft, Abschlussbericht</x:v>
      </x:c>
      <x:c r="D29" s="97" t="n">
        <x:v>1</x:v>
      </x:c>
      <x:c r="E29" s="94" t="str">
        <x:v>fertig</x:v>
      </x:c>
      <x:c r="F29" s="95" t="str">
        <x:v>Stand 15.07.2026</x:v>
      </x:c>
    </x:row>
    <x:row r="30" ht="34" customHeight="1">
      <x:c r="A30" s="84" t="str">
        <x:v>MS4</x:v>
      </x:c>
      <x:c r="B30" s="85" t="str">
        <x:v>Unterlagen abgabefähig</x:v>
      </x:c>
      <x:c r="C30" s="85" t="str">
        <x:v>Drei Abschlussunterlagen</x:v>
      </x:c>
      <x:c r="D30" s="98" t="str"/>
      <x:c r="E30" s="85" t="str">
        <x:v>fertig</x:v>
      </x:c>
      <x:c r="F30" s="86" t="str">
        <x:v>Meilenstein</x:v>
      </x:c>
    </x:row>
    <x:row r="31" ht="34" customHeight="1">
      <x:c r="A31" s="87" t="str">
        <x:v>MS5</x:v>
      </x:c>
      <x:c r="B31" s="88" t="str">
        <x:v>Projektabschluss</x:v>
      </x:c>
      <x:c r="C31" s="88" t="str">
        <x:v>Projektarbeit abgeschlossen</x:v>
      </x:c>
      <x:c r="D31" s="100" t="str"/>
      <x:c r="E31" s="88" t="str">
        <x:v>fertig</x:v>
      </x:c>
      <x:c r="F31" s="89" t="str">
        <x:v>Abschluss bestätigt</x:v>
      </x:c>
    </x:row>
    <x:row r="32" ht="34" customHeight="1"/>
    <x:row r="33" ht="34" customHeight="1">
      <x:c r="A33" s="109" t="str">
        <x:v>Summe Planaufwand</x:v>
      </x:c>
      <x:c r="B33" s="110" t="str"/>
      <x:c r="C33" s="110" t="str"/>
      <x:c r="D33" s="110" t="n">
        <x:f>SUM(D12:D31)</x:f>
        <x:v>45</x:v>
      </x:c>
      <x:c r="E33" s="110"/>
      <x:c r="F33" s="111"/>
    </x:row>
  </x:sheetData>
  <x:mergeCells>
    <x:mergeCell ref="A1:F1"/>
  </x:mergeCells>
  <x:conditionalFormatting sqref="E12:E31">
    <x:cfRule type="containsText" dxfId="0" priority="1" operator="containsText" text="fertig"/>
    <x:cfRule type="containsText" dxfId="1" priority="2" operator="containsText" text="Nicht bestanden"/>
    <x:cfRule type="containsText" dxfId="2" priority="3" operator="containsText" text="Bestanden"/>
    <x:cfRule type="containsText" dxfId="3" priority="4" operator="containsText" text="teilweise"/>
    <x:cfRule type="containsText" dxfId="4" priority="5" operator="containsText" text="Vorbehalt"/>
    <x:cfRule type="containsText" dxfId="5" priority="6" operator="containsText" text="Offe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8" hidden="0" customWidth="1"/>
    <x:col min="4" max="4" width="58" hidden="0" customWidth="1"/>
    <x:col min="5" max="5" width="20" hidden="0" customWidth="1"/>
  </x:cols>
  <x:sheetData>
    <x:row r="1" ht="30" customHeight="1">
      <x:c r="A1" s="4" t="str">
        <x:v>Änderungshistorie – Longbox</x:v>
      </x:c>
    </x:row>
    <x:row r="3">
      <x:c r="A3" s="54" t="str">
        <x:v>Version</x:v>
      </x:c>
      <x:c r="B3" s="55" t="str">
        <x:v>Datum</x:v>
      </x:c>
      <x:c r="C3" s="55" t="str">
        <x:v>Autor</x:v>
      </x:c>
      <x:c r="D3" s="55" t="str">
        <x:v>Änderung</x:v>
      </x:c>
      <x:c r="E3" s="56" t="str">
        <x:v>Freigabestatus</x:v>
      </x:c>
    </x:row>
    <x:row r="4" ht="36" customHeight="1">
      <x:c r="A4" s="75" t="str">
        <x:v>0.1</x:v>
      </x:c>
      <x:c r="B4" s="115" t="str">
        <x:v>12.05.2026</x:v>
      </x:c>
      <x:c r="C4" s="76" t="str">
        <x:v>Bogdan</x:v>
      </x:c>
      <x:c r="D4" s="76" t="str">
        <x:v>Projekt angelegt und technische Basis geschaffen</x:v>
      </x:c>
      <x:c r="E4" s="77" t="str">
        <x:v>Arbeitsstand</x:v>
      </x:c>
    </x:row>
    <x:row r="5" ht="36" customHeight="1">
      <x:c r="A5" s="78" t="str">
        <x:v>0.5</x:v>
      </x:c>
      <x:c r="B5" s="116" t="str">
        <x:v>24.06.2026</x:v>
      </x:c>
      <x:c r="C5" s="79" t="str">
        <x:v>Bogdan</x:v>
      </x:c>
      <x:c r="D5" s="79" t="str">
        <x:v>Kernfunktionen für Sammlung, Details und Listen umgesetzt</x:v>
      </x:c>
      <x:c r="E5" s="80" t="str">
        <x:v>Arbeitsstand</x:v>
      </x:c>
    </x:row>
    <x:row r="6" ht="36" customHeight="1">
      <x:c r="A6" s="78" t="str">
        <x:v>0.9</x:v>
      </x:c>
      <x:c r="B6" s="116" t="str">
        <x:v>14.07.2026</x:v>
      </x:c>
      <x:c r="C6" s="79" t="str">
        <x:v>Bogdan</x:v>
      </x:c>
      <x:c r="D6" s="79" t="str">
        <x:v>Katalog-/Importfunktionen und Oberfläche stabilisiert</x:v>
      </x:c>
      <x:c r="E6" s="80" t="str">
        <x:v>Prüfstand</x:v>
      </x:c>
    </x:row>
    <x:row r="7" ht="36" customHeight="1">
      <x:c r="A7" s="78" t="str">
        <x:v>1.0</x:v>
      </x:c>
      <x:c r="B7" s="116" t="str">
        <x:v>15.07.2026</x:v>
      </x:c>
      <x:c r="C7" s="79" t="str">
        <x:v>Bogdan</x:v>
      </x:c>
      <x:c r="D7" s="79" t="str">
        <x:v>Abschlussunterlagen und technische Nachweise konsolidiert</x:v>
      </x:c>
      <x:c r="E7" s="80" t="str">
        <x:v>fertig</x:v>
      </x:c>
    </x:row>
    <x:row r="8" ht="36" customHeight="1">
      <x:c r="A8" s="81" t="str"/>
      <x:c r="B8" s="82" t="str"/>
      <x:c r="C8" s="82" t="str"/>
      <x:c r="D8" s="82" t="str">
        <x:v>Maßnahmeträger / Fachbetreuung: vom Teilnehmenden einzutragen</x:v>
      </x:c>
      <x:c r="E8" s="83" t="str">
        <x:v>Hinweis</x:v>
      </x:c>
    </x:row>
  </x:sheetData>
  <x:mergeCells>
    <x:mergeCell ref="A1:E1"/>
  </x:mergeCells>
  <x:conditionalFormatting sqref="E4:E8">
    <x:cfRule type="containsText" dxfId="6" priority="1" operator="containsText" text="fertig"/>
    <x:cfRule type="containsText" dxfId="7" priority="2" operator="containsText" text="Nicht bestanden"/>
    <x:cfRule type="containsText" dxfId="8" priority="3" operator="containsText" text="Bestanden"/>
    <x:cfRule type="containsText" dxfId="9" priority="4" operator="containsText" text="teilweise"/>
    <x:cfRule type="containsText" dxfId="10" priority="5" operator="containsText" text="Vorbehalt"/>
    <x:cfRule type="containsText" dxfId="11" priority="6" operator="containsText" text="Off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32" hidden="0" customWidth="1"/>
    <x:col min="4" max="4" width="42" hidden="0" customWidth="1"/>
    <x:col min="5" max="5" width="28" hidden="0" customWidth="1"/>
    <x:col min="6" max="6" width="38" hidden="0" customWidth="1"/>
    <x:col min="7" max="7" width="10" hidden="0" customWidth="1"/>
    <x:col min="8" max="8" width="18" hidden="0" customWidth="1"/>
  </x:cols>
  <x:sheetData>
    <x:row r="1" ht="30" customHeight="1">
      <x:c r="A1" s="4" t="str">
        <x:v>Arbeitspaket-Beschreibungen – Longbox</x:v>
      </x:c>
    </x:row>
    <x:row r="3">
      <x:c r="A3" s="54" t="str">
        <x:v>ID</x:v>
      </x:c>
      <x:c r="B3" s="55" t="str">
        <x:v>Arbeitspaket</x:v>
      </x:c>
      <x:c r="C3" s="55" t="str">
        <x:v>Ziel / Ergebnis</x:v>
      </x:c>
      <x:c r="D3" s="55" t="str">
        <x:v>Aktivitäten</x:v>
      </x:c>
      <x:c r="E3" s="55" t="str">
        <x:v>Voraussetzungen</x:v>
      </x:c>
      <x:c r="F3" s="55" t="str">
        <x:v>Risiken / Restpunkte</x:v>
      </x:c>
      <x:c r="G3" s="55" t="str">
        <x:v>Plan-AT</x:v>
      </x:c>
      <x:c r="H3" s="56" t="str">
        <x:v>Status</x:v>
      </x:c>
    </x:row>
    <x:row r="4" ht="72" customHeight="1">
      <x:c r="A4" s="75" t="str">
        <x:v>1.1</x:v>
      </x:c>
      <x:c r="B4" s="76" t="str">
        <x:v>Initiierung und Anforderungen</x:v>
      </x:c>
      <x:c r="C4" s="76" t="str">
        <x:v>Abgegrenzter Funktionsumfang</x:v>
      </x:c>
      <x:c r="D4" s="76" t="str">
        <x:v>Ziele, Muss-/Kann-Anforderungen und Abnahmebasis festlegen</x:v>
      </x:c>
      <x:c r="E4" s="76" t="str">
        <x:v>Projektidee</x:v>
      </x:c>
      <x:c r="F4" s="76" t="str">
        <x:v>Termine und Umfang wurden aus Repository-Historie rekonstruiert</x:v>
      </x:c>
      <x:c r="G4" s="76" t="n">
        <x:v>3</x:v>
      </x:c>
      <x:c r="H4" s="77" t="str">
        <x:v>fertig</x:v>
      </x:c>
    </x:row>
    <x:row r="5" ht="72" customHeight="1">
      <x:c r="A5" s="78" t="str">
        <x:v>2</x:v>
      </x:c>
      <x:c r="B5" s="79" t="str">
        <x:v>Pflichtenheft</x:v>
      </x:c>
      <x:c r="C5" s="79" t="str">
        <x:v>Technische Spezifikation</x:v>
      </x:c>
      <x:c r="D5" s="79" t="str">
        <x:v>Architektur, Datenmodell, Funktionen und Abnahmekriterien beschreiben</x:v>
      </x:c>
      <x:c r="E5" s="79" t="str">
        <x:v>Anforderungen</x:v>
      </x:c>
      <x:c r="F5" s="79" t="str">
        <x:v>Formale Auftraggeberdaten fehlen</x:v>
      </x:c>
      <x:c r="G5" s="79" t="n">
        <x:v>2</x:v>
      </x:c>
      <x:c r="H5" s="80" t="str">
        <x:v>fertig</x:v>
      </x:c>
    </x:row>
    <x:row r="6" ht="72" customHeight="1">
      <x:c r="A6" s="78" t="str">
        <x:v>3</x:v>
      </x:c>
      <x:c r="B6" s="79" t="str">
        <x:v>Feinentwurf</x:v>
      </x:c>
      <x:c r="C6" s="79" t="str">
        <x:v>Umsetzbare Lösungsstruktur</x:v>
      </x:c>
      <x:c r="D6" s="79" t="str">
        <x:v>SvelteKit-Struktur, InstantDB-Schema und UI-Flüsse entwerfen</x:v>
      </x:c>
      <x:c r="E6" s="79" t="str">
        <x:v>Pflichtenheft</x:v>
      </x:c>
      <x:c r="F6" s="79" t="str">
        <x:v>Iterative Architekturänderungen</x:v>
      </x:c>
      <x:c r="G6" s="79" t="n">
        <x:v>4</x:v>
      </x:c>
      <x:c r="H6" s="80" t="str">
        <x:v>fertig</x:v>
      </x:c>
    </x:row>
    <x:row r="7" ht="72" customHeight="1">
      <x:c r="A7" s="78" t="str">
        <x:v>4.1</x:v>
      </x:c>
      <x:c r="B7" s="79" t="str">
        <x:v>Datenmodell und InstantDB</x:v>
      </x:c>
      <x:c r="C7" s="79" t="str">
        <x:v>Persistente Sammlungsdaten</x:v>
      </x:c>
      <x:c r="D7" s="79" t="str">
        <x:v>Schema, Beziehungen und lokale Synchronisation umsetzen</x:v>
      </x:c>
      <x:c r="E7" s="79" t="str">
        <x:v>InstantDB-Konfiguration</x:v>
      </x:c>
      <x:c r="F7" s="79" t="str">
        <x:v>Schema-Migrationen bei Modelländerungen</x:v>
      </x:c>
      <x:c r="G7" s="79" t="n">
        <x:v>3</x:v>
      </x:c>
      <x:c r="H7" s="80" t="str">
        <x:v>fertig</x:v>
      </x:c>
    </x:row>
    <x:row r="8" ht="72" customHeight="1">
      <x:c r="A8" s="78" t="str">
        <x:v>4.2</x:v>
      </x:c>
      <x:c r="B8" s="79" t="str">
        <x:v>Katalogsuche und Import</x:v>
      </x:c>
      <x:c r="C8" s="79" t="str">
        <x:v>Importierbare Ausgaben</x:v>
      </x:c>
      <x:c r="D8" s="79" t="str">
        <x:v>Comic-Vine-Suche, Auswahl, Import, Validierung und Dublettenprüfung</x:v>
      </x:c>
      <x:c r="E8" s="79" t="str">
        <x:v>API-Zugangsdaten</x:v>
      </x:c>
      <x:c r="F8" s="79" t="str">
        <x:v>Externe API-Verfügbarkeit und Datenqualität</x:v>
      </x:c>
      <x:c r="G8" s="79" t="n">
        <x:v>6</x:v>
      </x:c>
      <x:c r="H8" s="80" t="str">
        <x:v>fertig</x:v>
      </x:c>
    </x:row>
    <x:row r="9" ht="72" customHeight="1">
      <x:c r="A9" s="78" t="str">
        <x:v>4.3</x:v>
      </x:c>
      <x:c r="B9" s="79" t="str">
        <x:v>Authentifizierung und PWA</x:v>
      </x:c>
      <x:c r="C9" s="79" t="str">
        <x:v>Nutzbare lokale PWA</x:v>
      </x:c>
      <x:c r="D9" s="79" t="str">
        <x:v>Anmeldung, App-Shell, Manifest und Service Worker integrieren</x:v>
      </x:c>
      <x:c r="E9" s="79" t="str">
        <x:v>SvelteKit-Basis</x:v>
      </x:c>
      <x:c r="F9" s="79" t="str">
        <x:v>Offline-Nutzung außerhalb des Projektumfangs</x:v>
      </x:c>
      <x:c r="G9" s="79" t="n">
        <x:v>4</x:v>
      </x:c>
      <x:c r="H9" s="80" t="str">
        <x:v>fertig</x:v>
      </x:c>
    </x:row>
    <x:row r="10" ht="72" customHeight="1">
      <x:c r="A10" s="78" t="str">
        <x:v>4.4</x:v>
      </x:c>
      <x:c r="B10" s="79" t="str">
        <x:v>Ausgabendetails</x:v>
      </x:c>
      <x:c r="C10" s="79" t="str">
        <x:v>Pflegbare Ausgaben</x:v>
      </x:c>
      <x:c r="D10" s="79" t="str">
        <x:v>Metadaten, Notizen, Lesestatus und Bewertung bearbeiten</x:v>
      </x:c>
      <x:c r="E10" s="79" t="str">
        <x:v>Datenmodell</x:v>
      </x:c>
      <x:c r="F10" s="79" t="str">
        <x:v>UI-Randfälle</x:v>
      </x:c>
      <x:c r="G10" s="79" t="n">
        <x:v>5</x:v>
      </x:c>
      <x:c r="H10" s="80" t="str">
        <x:v>fertig</x:v>
      </x:c>
    </x:row>
    <x:row r="11" ht="72" customHeight="1">
      <x:c r="A11" s="78" t="str">
        <x:v>4.5</x:v>
      </x:c>
      <x:c r="B11" s="79" t="str">
        <x:v>Sammlung und Listen</x:v>
      </x:c>
      <x:c r="C11" s="79" t="str">
        <x:v>Strukturierte persönliche Sammlung</x:v>
      </x:c>
      <x:c r="D11" s="79" t="str">
        <x:v>Sammlung filtern, Listen anlegen und Ausgaben zuordnen</x:v>
      </x:c>
      <x:c r="E11" s="79" t="str">
        <x:v>Ausgabendaten</x:v>
      </x:c>
      <x:c r="F11" s="79" t="str">
        <x:v>Keine offenen Restpunkte im Projektumfang</x:v>
      </x:c>
      <x:c r="G11" s="79" t="n">
        <x:v>6</x:v>
      </x:c>
      <x:c r="H11" s="80" t="str">
        <x:v>fertig</x:v>
      </x:c>
    </x:row>
    <x:row r="12" ht="72" customHeight="1">
      <x:c r="A12" s="78" t="str">
        <x:v>4.6</x:v>
      </x:c>
      <x:c r="B12" s="79" t="str">
        <x:v>Stabilisierung und Abschluss</x:v>
      </x:c>
      <x:c r="C12" s="79" t="str">
        <x:v>Bereinigter Abschlussstand</x:v>
      </x:c>
      <x:c r="D12" s="79" t="str">
        <x:v>Abschlussprüfung, Bereinigung und Dokumentation durchführen</x:v>
      </x:c>
      <x:c r="E12" s="79" t="str">
        <x:v>Umgesetzte Kernfunktionen</x:v>
      </x:c>
      <x:c r="F12" s="79" t="str">
        <x:v>Weiterführende Ideen außerhalb des Projektumfangs</x:v>
      </x:c>
      <x:c r="G12" s="79" t="n">
        <x:v>4</x:v>
      </x:c>
      <x:c r="H12" s="80" t="str">
        <x:v>fertig</x:v>
      </x:c>
    </x:row>
    <x:row r="13" ht="72" customHeight="1">
      <x:c r="A13" s="78" t="str">
        <x:v>5.1</x:v>
      </x:c>
      <x:c r="B13" s="79" t="str">
        <x:v>Automatisierte Tests</x:v>
      </x:c>
      <x:c r="C13" s="79" t="str">
        <x:v>Regressionen früh erkennen</x:v>
      </x:c>
      <x:c r="D13" s="79" t="str">
        <x:v>Unit- und Komponententests ausführen und Ergebnisse dokumentieren</x:v>
      </x:c>
      <x:c r="E13" s="79" t="str">
        <x:v>Implementierter Funktionsumfang</x:v>
      </x:c>
      <x:c r="F13" s="79" t="str">
        <x:v>Svelte derived_inert-Warnungen untersuchen</x:v>
      </x:c>
      <x:c r="G13" s="79" t="n">
        <x:v>4</x:v>
      </x:c>
      <x:c r="H13" s="80" t="str">
        <x:v>fertig</x:v>
      </x:c>
    </x:row>
    <x:row r="14" ht="72" customHeight="1">
      <x:c r="A14" s="78" t="str">
        <x:v>5.2</x:v>
      </x:c>
      <x:c r="B14" s="79" t="str">
        <x:v>Build und statische Prüfung</x:v>
      </x:c>
      <x:c r="C14" s="79" t="str">
        <x:v>Technisch abgabefähiger Stand</x:v>
      </x:c>
      <x:c r="D14" s="79" t="str">
        <x:v>Produktionsbuild und Svelte-/TypeScript-Prüfung ausführen</x:v>
      </x:c>
      <x:c r="E14" s="79" t="str">
        <x:v>Gesamtimplementierung</x:v>
      </x:c>
      <x:c r="F14" s="79" t="str">
        <x:v>Technische Hinweise dokumentiert</x:v>
      </x:c>
      <x:c r="G14" s="79" t="n">
        <x:v>1</x:v>
      </x:c>
      <x:c r="H14" s="80" t="str">
        <x:v>fertig</x:v>
      </x:c>
    </x:row>
    <x:row r="15" ht="72" customHeight="1">
      <x:c r="A15" s="81" t="str">
        <x:v>6</x:v>
      </x:c>
      <x:c r="B15" s="82" t="str">
        <x:v>Projektdokumentation</x:v>
      </x:c>
      <x:c r="C15" s="82" t="str">
        <x:v>Vollständige Abschlussunterlagen</x:v>
      </x:c>
      <x:c r="D15" s="82" t="str">
        <x:v>PSP, Pflichtenheft und Abschlussbericht erstellen</x:v>
      </x:c>
      <x:c r="E15" s="82" t="str">
        <x:v>Technische Nachweise</x:v>
      </x:c>
      <x:c r="F15" s="82" t="str">
        <x:v>Offizielle Träger-/Betreuungsdaten fehlen</x:v>
      </x:c>
      <x:c r="G15" s="82" t="n">
        <x:v>1</x:v>
      </x:c>
      <x:c r="H15" s="83" t="str">
        <x:v>fertig</x:v>
      </x:c>
    </x:row>
  </x:sheetData>
  <x:mergeCells>
    <x:mergeCell ref="A1:H1"/>
  </x:mergeCells>
  <x:conditionalFormatting sqref="H4:H15">
    <x:cfRule type="containsText" dxfId="12" priority="1" operator="containsText" text="fertig"/>
    <x:cfRule type="containsText" dxfId="13" priority="2" operator="containsText" text="Nicht bestanden"/>
    <x:cfRule type="containsText" dxfId="14" priority="3" operator="containsText" text="Bestanden"/>
    <x:cfRule type="containsText" dxfId="15" priority="4" operator="containsText" text="teilweise"/>
    <x:cfRule type="containsText" dxfId="16" priority="5" operator="containsText" text="Vorbehalt"/>
    <x:cfRule type="containsText" dxfId="17" priority="6" operator="containsText" text="Off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4" hidden="0" customWidth="1"/>
    <x:col min="5" max="5" width="10" hidden="0" customWidth="1"/>
    <x:col min="6" max="6" width="14" hidden="0" customWidth="1"/>
    <x:col min="7" max="7" width="10" hidden="0" customWidth="1"/>
    <x:col min="8" max="8" width="9" hidden="0" customWidth="1"/>
    <x:col min="9" max="9" width="19" hidden="0" customWidth="1"/>
  </x:cols>
  <x:sheetData>
    <x:row r="1" ht="30" customHeight="1">
      <x:c r="A1" s="4" t="str">
        <x:v>Zeitplan und Statusübersicht – Longbox</x:v>
      </x:c>
    </x:row>
    <x:row r="3">
      <x:c r="A3" s="138" t="str">
        <x:v>Projekt</x:v>
      </x:c>
      <x:c r="B3" s="139" t="str">
        <x:f>'PSP'!B3</x:f>
        <x:v>Longbox V1.0</x:v>
      </x:c>
      <x:c r="C3" s="139" t="str">
        <x:v>Stand</x:v>
      </x:c>
      <x:c r="D3" s="140" t="str">
        <x:v>15.07.2026</x:v>
      </x:c>
    </x:row>
    <x:row r="4">
      <x:c r="A4" s="141" t="str">
        <x:v>Planstart</x:v>
      </x:c>
      <x:c r="B4" s="142" t="str">
        <x:f>'PSP'!B5</x:f>
        <x:v>12.05.2026</x:v>
      </x:c>
      <x:c r="C4" s="142" t="str">
        <x:v>Planende</x:v>
      </x:c>
      <x:c r="D4" s="143" t="str">
        <x:f>'PSP'!B6</x:f>
        <x:v>15.07.2026</x:v>
      </x:c>
    </x:row>
    <x:row r="5">
      <x:c r="A5" s="141" t="str">
        <x:v>Planaufwand (AT)</x:v>
      </x:c>
      <x:c r="B5" s="144" t="n">
        <x:f>'PSP'!B8</x:f>
        <x:v>45</x:v>
      </x:c>
      <x:c r="C5" s="144" t="str">
        <x:v>Ist-Aufwand (AT)</x:v>
      </x:c>
      <x:c r="D5" s="145" t="n">
        <x:v>45</x:v>
      </x:c>
    </x:row>
    <x:row r="6">
      <x:c r="A6" s="146" t="str">
        <x:v>Abweichung (AT)</x:v>
      </x:c>
      <x:c r="B6" s="147" t="n">
        <x:f>D5-B5</x:f>
        <x:v>0</x:v>
      </x:c>
      <x:c r="C6" s="147" t="str">
        <x:v>Abnahmestatus</x:v>
      </x:c>
      <x:c r="D6" s="148" t="str">
        <x:v>abgeschlossen</x:v>
      </x:c>
    </x:row>
    <x:row r="8">
      <x:c r="A8" s="54" t="str">
        <x:v>ID</x:v>
      </x:c>
      <x:c r="B8" s="55" t="str">
        <x:v>Arbeitspaket / Meilenstein</x:v>
      </x:c>
      <x:c r="C8" s="55" t="str">
        <x:v>Planstart</x:v>
      </x:c>
      <x:c r="D8" s="55" t="str">
        <x:v>Planende</x:v>
      </x:c>
      <x:c r="E8" s="55" t="str">
        <x:v>Plan-AT</x:v>
      </x:c>
      <x:c r="F8" s="55" t="str">
        <x:v>Ist-Ende</x:v>
      </x:c>
      <x:c r="G8" s="55" t="str">
        <x:v>Ist-AT</x:v>
      </x:c>
      <x:c r="H8" s="55" t="str">
        <x:v>Δ AT</x:v>
      </x:c>
      <x:c r="I8" s="56" t="str">
        <x:v>Status</x:v>
      </x:c>
    </x:row>
    <x:row r="9" ht="35" customHeight="1">
      <x:c r="A9" s="75" t="str">
        <x:v>1</x:v>
      </x:c>
      <x:c r="B9" s="76" t="str">
        <x:v>Projektstart</x:v>
      </x:c>
      <x:c r="C9" s="115" t="str">
        <x:v>12.05.2026</x:v>
      </x:c>
      <x:c r="D9" s="115" t="str">
        <x:v>13.05.2026</x:v>
      </x:c>
      <x:c r="E9" s="76" t="n">
        <x:v>2</x:v>
      </x:c>
      <x:c r="F9" s="115" t="str">
        <x:v>13.05.2026</x:v>
      </x:c>
      <x:c r="G9" s="76" t="n">
        <x:v>2</x:v>
      </x:c>
      <x:c r="H9" s="76" t="n">
        <x:f>IF(OR(E9="",G9=""),"",G9-E9)</x:f>
        <x:v>0</x:v>
      </x:c>
      <x:c r="I9" s="77" t="str">
        <x:v>fertig</x:v>
      </x:c>
    </x:row>
    <x:row r="10" ht="35" customHeight="1">
      <x:c r="A10" s="78" t="str">
        <x:v>1.1</x:v>
      </x:c>
      <x:c r="B10" s="79" t="str">
        <x:v>Initiierung und Anforderungen</x:v>
      </x:c>
      <x:c r="C10" s="116" t="str">
        <x:v>14.05.2026</x:v>
      </x:c>
      <x:c r="D10" s="116" t="str">
        <x:v>19.05.2026</x:v>
      </x:c>
      <x:c r="E10" s="79" t="n">
        <x:v>3</x:v>
      </x:c>
      <x:c r="F10" s="116" t="str">
        <x:v>19.05.2026</x:v>
      </x:c>
      <x:c r="G10" s="79" t="n">
        <x:v>3</x:v>
      </x:c>
      <x:c r="H10" s="79" t="n">
        <x:f>IF(OR(E10="",G10=""),"",G10-E10)</x:f>
        <x:v>0</x:v>
      </x:c>
      <x:c r="I10" s="80" t="str">
        <x:v>fertig</x:v>
      </x:c>
    </x:row>
    <x:row r="11" ht="35" customHeight="1">
      <x:c r="A11" s="84" t="str">
        <x:v>MS1</x:v>
      </x:c>
      <x:c r="B11" s="85" t="str">
        <x:v>Planungsbasis bestätigt</x:v>
      </x:c>
      <x:c r="C11" s="152" t="str">
        <x:v>20.05.2026</x:v>
      </x:c>
      <x:c r="D11" s="152" t="str">
        <x:v>20.05.2026</x:v>
      </x:c>
      <x:c r="E11" s="85" t="str"/>
      <x:c r="F11" s="152" t="str">
        <x:v>20.05.2026</x:v>
      </x:c>
      <x:c r="G11" s="85" t="str"/>
      <x:c r="H11" s="85" t="str">
        <x:f>IF(OR(E11="",G11=""),"",G11-E11)</x:f>
      </x:c>
      <x:c r="I11" s="86" t="str">
        <x:v>fertig</x:v>
      </x:c>
    </x:row>
    <x:row r="12" ht="35" customHeight="1">
      <x:c r="A12" s="78" t="str">
        <x:v>2</x:v>
      </x:c>
      <x:c r="B12" s="79" t="str">
        <x:v>Pflichtenheft</x:v>
      </x:c>
      <x:c r="C12" s="116" t="str">
        <x:v>20.05.2026</x:v>
      </x:c>
      <x:c r="D12" s="116" t="str">
        <x:v>22.05.2026</x:v>
      </x:c>
      <x:c r="E12" s="79" t="n">
        <x:v>2</x:v>
      </x:c>
      <x:c r="F12" s="116" t="str">
        <x:v>15.07.2026</x:v>
      </x:c>
      <x:c r="G12" s="79" t="n">
        <x:v>2</x:v>
      </x:c>
      <x:c r="H12" s="79" t="n">
        <x:f>IF(OR(E12="",G12=""),"",G12-E12)</x:f>
        <x:v>0</x:v>
      </x:c>
      <x:c r="I12" s="80" t="str">
        <x:v>fertig</x:v>
      </x:c>
    </x:row>
    <x:row r="13" ht="35" customHeight="1">
      <x:c r="A13" s="78" t="str">
        <x:v>3</x:v>
      </x:c>
      <x:c r="B13" s="79" t="str">
        <x:v>Feinentwurf</x:v>
      </x:c>
      <x:c r="C13" s="116" t="str">
        <x:v>20.05.2026</x:v>
      </x:c>
      <x:c r="D13" s="116" t="str">
        <x:v>04.06.2026</x:v>
      </x:c>
      <x:c r="E13" s="79" t="n">
        <x:v>4</x:v>
      </x:c>
      <x:c r="F13" s="116" t="str">
        <x:v>04.06.2026</x:v>
      </x:c>
      <x:c r="G13" s="79" t="n">
        <x:v>4</x:v>
      </x:c>
      <x:c r="H13" s="79" t="n">
        <x:f>IF(OR(E13="",G13=""),"",G13-E13)</x:f>
        <x:v>0</x:v>
      </x:c>
      <x:c r="I13" s="80" t="str">
        <x:v>fertig</x:v>
      </x:c>
    </x:row>
    <x:row r="14" ht="35" customHeight="1">
      <x:c r="A14" s="78" t="str">
        <x:v>4.1</x:v>
      </x:c>
      <x:c r="B14" s="79" t="str">
        <x:v>Datenmodell und InstantDB</x:v>
      </x:c>
      <x:c r="C14" s="116" t="str">
        <x:v>20.05.2026</x:v>
      </x:c>
      <x:c r="D14" s="116" t="str">
        <x:v>26.05.2026</x:v>
      </x:c>
      <x:c r="E14" s="79" t="n">
        <x:v>3</x:v>
      </x:c>
      <x:c r="F14" s="116" t="str">
        <x:v>26.05.2026</x:v>
      </x:c>
      <x:c r="G14" s="79" t="n">
        <x:v>3</x:v>
      </x:c>
      <x:c r="H14" s="79" t="n">
        <x:f>IF(OR(E14="",G14=""),"",G14-E14)</x:f>
        <x:v>0</x:v>
      </x:c>
      <x:c r="I14" s="80" t="str">
        <x:v>fertig</x:v>
      </x:c>
    </x:row>
    <x:row r="15" ht="35" customHeight="1">
      <x:c r="A15" s="78" t="str">
        <x:v>4.2</x:v>
      </x:c>
      <x:c r="B15" s="79" t="str">
        <x:v>Katalogsuche und Import</x:v>
      </x:c>
      <x:c r="C15" s="116" t="str">
        <x:v>21.05.2026</x:v>
      </x:c>
      <x:c r="D15" s="116" t="str">
        <x:v>14.07.2026</x:v>
      </x:c>
      <x:c r="E15" s="79" t="n">
        <x:v>6</x:v>
      </x:c>
      <x:c r="F15" s="116" t="str">
        <x:v>14.07.2026</x:v>
      </x:c>
      <x:c r="G15" s="79" t="n">
        <x:v>6</x:v>
      </x:c>
      <x:c r="H15" s="79" t="n">
        <x:f>IF(OR(E15="",G15=""),"",G15-E15)</x:f>
        <x:v>0</x:v>
      </x:c>
      <x:c r="I15" s="80" t="str">
        <x:v>fertig</x:v>
      </x:c>
    </x:row>
    <x:row r="16" ht="35" customHeight="1">
      <x:c r="A16" s="78" t="str">
        <x:v>4.3</x:v>
      </x:c>
      <x:c r="B16" s="79" t="str">
        <x:v>Authentifizierung und PWA</x:v>
      </x:c>
      <x:c r="C16" s="116" t="str">
        <x:v>22.05.2026</x:v>
      </x:c>
      <x:c r="D16" s="116" t="str">
        <x:v>25.05.2026</x:v>
      </x:c>
      <x:c r="E16" s="79" t="n">
        <x:v>4</x:v>
      </x:c>
      <x:c r="F16" s="116" t="str">
        <x:v>25.05.2026</x:v>
      </x:c>
      <x:c r="G16" s="79" t="n">
        <x:v>4</x:v>
      </x:c>
      <x:c r="H16" s="79" t="n">
        <x:f>IF(OR(E16="",G16=""),"",G16-E16)</x:f>
        <x:v>0</x:v>
      </x:c>
      <x:c r="I16" s="80" t="str">
        <x:v>fertig</x:v>
      </x:c>
    </x:row>
    <x:row r="17" ht="35" customHeight="1">
      <x:c r="A17" s="78" t="str">
        <x:v>4.4</x:v>
      </x:c>
      <x:c r="B17" s="79" t="str">
        <x:v>Ausgabendetails</x:v>
      </x:c>
      <x:c r="C17" s="116" t="str">
        <x:v>04.06.2026</x:v>
      </x:c>
      <x:c r="D17" s="116" t="str">
        <x:v>24.06.2026</x:v>
      </x:c>
      <x:c r="E17" s="79" t="n">
        <x:v>5</x:v>
      </x:c>
      <x:c r="F17" s="116" t="str">
        <x:v>24.06.2026</x:v>
      </x:c>
      <x:c r="G17" s="79" t="n">
        <x:v>5</x:v>
      </x:c>
      <x:c r="H17" s="79" t="n">
        <x:f>IF(OR(E17="",G17=""),"",G17-E17)</x:f>
        <x:v>0</x:v>
      </x:c>
      <x:c r="I17" s="80" t="str">
        <x:v>fertig</x:v>
      </x:c>
    </x:row>
    <x:row r="18" ht="35" customHeight="1">
      <x:c r="A18" s="78" t="str">
        <x:v>4.5</x:v>
      </x:c>
      <x:c r="B18" s="79" t="str">
        <x:v>Sammlung und Listen</x:v>
      </x:c>
      <x:c r="C18" s="116" t="str">
        <x:v>24.06.2026</x:v>
      </x:c>
      <x:c r="D18" s="116" t="str">
        <x:v>10.07.2026</x:v>
      </x:c>
      <x:c r="E18" s="79" t="n">
        <x:v>6</x:v>
      </x:c>
      <x:c r="F18" s="116" t="str">
        <x:v>10.07.2026</x:v>
      </x:c>
      <x:c r="G18" s="79" t="n">
        <x:v>6</x:v>
      </x:c>
      <x:c r="H18" s="79" t="n">
        <x:f>IF(OR(E18="",G18=""),"",G18-E18)</x:f>
        <x:v>0</x:v>
      </x:c>
      <x:c r="I18" s="80" t="str">
        <x:v>fertig</x:v>
      </x:c>
    </x:row>
    <x:row r="19" ht="35" customHeight="1">
      <x:c r="A19" s="78" t="str">
        <x:v>4.6</x:v>
      </x:c>
      <x:c r="B19" s="79" t="str">
        <x:v>Stabilisierung und Abschluss</x:v>
      </x:c>
      <x:c r="C19" s="116" t="str">
        <x:v>11.07.2026</x:v>
      </x:c>
      <x:c r="D19" s="116" t="str">
        <x:v>15.07.2026</x:v>
      </x:c>
      <x:c r="E19" s="79" t="n">
        <x:v>4</x:v>
      </x:c>
      <x:c r="F19" s="116" t="str">
        <x:v>15.07.2026</x:v>
      </x:c>
      <x:c r="G19" s="79" t="n">
        <x:v>4</x:v>
      </x:c>
      <x:c r="H19" s="79" t="n">
        <x:v>0</x:v>
      </x:c>
      <x:c r="I19" s="80" t="str">
        <x:v>fertig</x:v>
      </x:c>
    </x:row>
    <x:row r="20" ht="35" customHeight="1">
      <x:c r="A20" s="78" t="str">
        <x:v>5.1</x:v>
      </x:c>
      <x:c r="B20" s="79" t="str">
        <x:v>Unit- und Komponententests</x:v>
      </x:c>
      <x:c r="C20" s="116" t="str">
        <x:v>21.05.2026</x:v>
      </x:c>
      <x:c r="D20" s="116" t="str">
        <x:v>15.07.2026</x:v>
      </x:c>
      <x:c r="E20" s="79" t="n">
        <x:v>4</x:v>
      </x:c>
      <x:c r="F20" s="116" t="str">
        <x:v>15.07.2026</x:v>
      </x:c>
      <x:c r="G20" s="79" t="n">
        <x:v>4</x:v>
      </x:c>
      <x:c r="H20" s="79" t="n">
        <x:f>IF(OR(E20="",G20=""),"",G20-E20)</x:f>
        <x:v>0</x:v>
      </x:c>
      <x:c r="I20" s="80" t="str">
        <x:v>fertig</x:v>
      </x:c>
    </x:row>
    <x:row r="21" ht="35" customHeight="1">
      <x:c r="A21" s="78" t="str">
        <x:v>5.2</x:v>
      </x:c>
      <x:c r="B21" s="79" t="str">
        <x:v>Build und statische Prüfung</x:v>
      </x:c>
      <x:c r="C21" s="116" t="str">
        <x:v>15.07.2026</x:v>
      </x:c>
      <x:c r="D21" s="116" t="str">
        <x:v>15.07.2026</x:v>
      </x:c>
      <x:c r="E21" s="79" t="n">
        <x:v>1</x:v>
      </x:c>
      <x:c r="F21" s="116" t="str">
        <x:v>15.07.2026</x:v>
      </x:c>
      <x:c r="G21" s="79" t="n">
        <x:v>1</x:v>
      </x:c>
      <x:c r="H21" s="79" t="n">
        <x:f>IF(OR(E21="",G21=""),"",G21-E21)</x:f>
        <x:v>0</x:v>
      </x:c>
      <x:c r="I21" s="80" t="str">
        <x:v>fertig</x:v>
      </x:c>
    </x:row>
    <x:row r="22" ht="35" customHeight="1">
      <x:c r="A22" s="84" t="str">
        <x:v>MS3</x:v>
      </x:c>
      <x:c r="B22" s="85" t="str">
        <x:v>Technische Endabnahme</x:v>
      </x:c>
      <x:c r="C22" s="152" t="str">
        <x:v>15.07.2026</x:v>
      </x:c>
      <x:c r="D22" s="152" t="str">
        <x:v>15.07.2026</x:v>
      </x:c>
      <x:c r="E22" s="85" t="str"/>
      <x:c r="F22" s="152" t="str">
        <x:v>15.07.2026</x:v>
      </x:c>
      <x:c r="G22" s="85" t="str"/>
      <x:c r="H22" s="85" t="str">
        <x:f>IF(OR(E22="",G22=""),"",G22-E22)</x:f>
      </x:c>
      <x:c r="I22" s="86" t="str">
        <x:v>fertig</x:v>
      </x:c>
    </x:row>
    <x:row r="23" ht="35" customHeight="1">
      <x:c r="A23" s="78" t="str">
        <x:v>6</x:v>
      </x:c>
      <x:c r="B23" s="79" t="str">
        <x:v>Projektdokumentation</x:v>
      </x:c>
      <x:c r="C23" s="116" t="str">
        <x:v>15.07.2026</x:v>
      </x:c>
      <x:c r="D23" s="116" t="str">
        <x:v>15.07.2026</x:v>
      </x:c>
      <x:c r="E23" s="79" t="n">
        <x:v>1</x:v>
      </x:c>
      <x:c r="F23" s="116" t="str">
        <x:v>15.07.2026</x:v>
      </x:c>
      <x:c r="G23" s="79" t="n">
        <x:v>1</x:v>
      </x:c>
      <x:c r="H23" s="79" t="n">
        <x:f>IF(OR(E23="",G23=""),"",G23-E23)</x:f>
        <x:v>0</x:v>
      </x:c>
      <x:c r="I23" s="80" t="str">
        <x:v>fertig</x:v>
      </x:c>
    </x:row>
    <x:row r="24" ht="35" customHeight="1">
      <x:c r="A24" s="87" t="str">
        <x:v>MS5</x:v>
      </x:c>
      <x:c r="B24" s="88" t="str">
        <x:v>Projektabschluss</x:v>
      </x:c>
      <x:c r="C24" s="153" t="str">
        <x:v>15.07.2026</x:v>
      </x:c>
      <x:c r="D24" s="153" t="str">
        <x:v>15.07.2026</x:v>
      </x:c>
      <x:c r="E24" s="88" t="str"/>
      <x:c r="F24" s="153" t="str">
        <x:v>15.07.2026</x:v>
      </x:c>
      <x:c r="G24" s="88" t="str"/>
      <x:c r="H24" s="88" t="str"/>
      <x:c r="I24" s="89" t="str">
        <x:v>fertig</x:v>
      </x:c>
    </x:row>
  </x:sheetData>
  <x:mergeCells>
    <x:mergeCell ref="A1:I1"/>
  </x:mergeCells>
  <x:conditionalFormatting sqref="D6:D6">
    <x:cfRule type="containsText" dxfId="18" priority="1" operator="containsText" text="fertig"/>
    <x:cfRule type="containsText" dxfId="19" priority="2" operator="containsText" text="Nicht bestanden"/>
    <x:cfRule type="containsText" dxfId="20" priority="3" operator="containsText" text="Bestanden"/>
    <x:cfRule type="containsText" dxfId="21" priority="4" operator="containsText" text="teilweise"/>
    <x:cfRule type="containsText" dxfId="22" priority="5" operator="containsText" text="Vorbehalt"/>
    <x:cfRule type="containsText" dxfId="23" priority="6" operator="containsText" text="Offen"/>
    <x:cfRule type="containsText" dxfId="42" priority="13" operator="containsText" text="abgeschlossen"/>
    <x:cfRule type="containsText" dxfId="44" priority="14" operator="containsText" text="abgeschlossen"/>
  </x:conditionalFormatting>
  <x:conditionalFormatting sqref="I9:I24">
    <x:cfRule type="containsText" dxfId="24" priority="7" operator="containsText" text="fertig"/>
    <x:cfRule type="containsText" dxfId="25" priority="8" operator="containsText" text="Nicht bestanden"/>
    <x:cfRule type="containsText" dxfId="26" priority="9" operator="containsText" text="Bestanden"/>
    <x:cfRule type="containsText" dxfId="27" priority="10" operator="containsText" text="teilweise"/>
    <x:cfRule type="containsText" dxfId="28" priority="11" operator="containsText" text="Vorbehalt"/>
    <x:cfRule type="containsText" dxfId="29" priority="12" operator="containsText" text="Offe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42" hidden="0" customWidth="1"/>
    <x:col min="5" max="5" width="34" hidden="0" customWidth="1"/>
    <x:col min="6" max="6" width="19" hidden="0" customWidth="1"/>
    <x:col min="7" max="7" width="34" hidden="0" customWidth="1"/>
  </x:cols>
  <x:sheetData>
    <x:row r="1" ht="30" customHeight="1">
      <x:c r="A1" s="4" t="str">
        <x:v>Testprotokolle und Abnahmenachweise – Longbox</x:v>
      </x:c>
    </x:row>
    <x:row r="3">
      <x:c r="A3" s="173" t="str">
        <x:v>Bestanden</x:v>
      </x:c>
      <x:c r="B3" s="174" t="n">
        <x:f>COUNTIF(F9:F16,"Bestanden")</x:f>
        <x:v>8</x:v>
      </x:c>
      <x:c r="C3" s="174" t="str">
        <x:v>Teilweise</x:v>
      </x:c>
      <x:c r="D3" s="174" t="n">
        <x:f>COUNTIF(F9:F16,"Teilweise")</x:f>
        <x:v>0</x:v>
      </x:c>
      <x:c r="E3" s="174" t="str">
        <x:v>Offen / nicht bestanden</x:v>
      </x:c>
      <x:c r="F3" s="175" t="n">
        <x:f>COUNTIF(F9:F16,"Offen")+COUNTIF(F9:F16,"Nicht bestanden")</x:f>
        <x:v>0</x:v>
      </x:c>
    </x:row>
    <x:row r="4">
      <x:c r="A4" s="176" t="str"/>
      <x:c r="B4" s="177" t="str"/>
      <x:c r="C4" s="177" t="str"/>
      <x:c r="D4" s="177" t="str"/>
      <x:c r="E4" s="177" t="str"/>
      <x:c r="F4" s="178" t="str"/>
    </x:row>
    <x:row r="5">
      <x:c r="A5" s="179" t="str">
        <x:v>Stand</x:v>
      </x:c>
      <x:c r="B5" s="180" t="str">
        <x:v>15.07.2026</x:v>
      </x:c>
      <x:c r="C5" s="181" t="str"/>
      <x:c r="D5" s="181" t="str"/>
      <x:c r="E5" s="181" t="str"/>
      <x:c r="F5" s="182" t="str"/>
    </x:row>
    <x:row r="8">
      <x:c r="A8" s="54" t="str">
        <x:v>ID</x:v>
      </x:c>
      <x:c r="B8" s="55" t="str">
        <x:v>Prüfung</x:v>
      </x:c>
      <x:c r="C8" s="55" t="str">
        <x:v>Datum</x:v>
      </x:c>
      <x:c r="D8" s="55" t="str">
        <x:v>Nachweis / Ergebnis</x:v>
      </x:c>
      <x:c r="E8" s="55" t="str">
        <x:v>Bemerkung</x:v>
      </x:c>
      <x:c r="F8" s="55" t="str">
        <x:v>Status</x:v>
      </x:c>
      <x:c r="G8" s="56" t="str">
        <x:v>Maßnahme / Verantwortlich</x:v>
      </x:c>
    </x:row>
    <x:row r="9" ht="62" customHeight="1">
      <x:c r="A9" s="75" t="str">
        <x:v>T01</x:v>
      </x:c>
      <x:c r="B9" s="76" t="str">
        <x:v>Unit- und Komponententests</x:v>
      </x:c>
      <x:c r="C9" s="115" t="str">
        <x:v>15.07.2026</x:v>
      </x:c>
      <x:c r="D9" s="76" t="str">
        <x:v>25 Testdateien, 107/107 Tests bestanden</x:v>
      </x:c>
      <x:c r="E9" s="76" t="str">
        <x:v>Abschlussnachweis erbracht</x:v>
      </x:c>
      <x:c r="F9" s="76" t="str">
        <x:v>Bestanden</x:v>
      </x:c>
      <x:c r="G9" s="77" t="str">
        <x:v>Keine</x:v>
      </x:c>
    </x:row>
    <x:row r="10" ht="62" customHeight="1">
      <x:c r="A10" s="78" t="str">
        <x:v>T02</x:v>
      </x:c>
      <x:c r="B10" s="79" t="str">
        <x:v>Produktionsbuild</x:v>
      </x:c>
      <x:c r="C10" s="116" t="str">
        <x:v>15.07.2026</x:v>
      </x:c>
      <x:c r="D10" s="79" t="str">
        <x:v>Client, Server und Service Worker erfolgreich gebaut</x:v>
      </x:c>
      <x:c r="E10" s="79" t="str">
        <x:v>Abschlussnachweis erbracht</x:v>
      </x:c>
      <x:c r="F10" s="79" t="str">
        <x:v>Bestanden</x:v>
      </x:c>
      <x:c r="G10" s="80" t="str">
        <x:v>Keine</x:v>
      </x:c>
    </x:row>
    <x:row r="11" ht="62" customHeight="1">
      <x:c r="A11" s="78" t="str">
        <x:v>T03</x:v>
      </x:c>
      <x:c r="B11" s="79" t="str">
        <x:v>Technische Abschlussprüfung</x:v>
      </x:c>
      <x:c r="C11" s="116" t="str">
        <x:v>15.07.2026</x:v>
      </x:c>
      <x:c r="D11" s="79" t="str">
        <x:v>Build und automatisierte Tests erfolgreich</x:v>
      </x:c>
      <x:c r="E11" s="79" t="str">
        <x:v>Ergebnisse dokumentiert</x:v>
      </x:c>
      <x:c r="F11" s="79" t="str">
        <x:v>Bestanden</x:v>
      </x:c>
      <x:c r="G11" s="80" t="str">
        <x:v>Keine</x:v>
      </x:c>
    </x:row>
    <x:row r="12" ht="62" customHeight="1">
      <x:c r="A12" s="78" t="str">
        <x:v>T04</x:v>
      </x:c>
      <x:c r="B12" s="79" t="str">
        <x:v>Katalogsuche und Import</x:v>
      </x:c>
      <x:c r="C12" s="116" t="str">
        <x:v>15.07.2026</x:v>
      </x:c>
      <x:c r="D12" s="79" t="str">
        <x:v>Automatisierte Tests für Suche, Import und Dublettenlogik</x:v>
      </x:c>
      <x:c r="E12" s="79" t="str">
        <x:v>Comic-Vine-Integration geprüft</x:v>
      </x:c>
      <x:c r="F12" s="79" t="str">
        <x:v>Bestanden</x:v>
      </x:c>
      <x:c r="G12" s="80" t="str">
        <x:v>Keine</x:v>
      </x:c>
    </x:row>
    <x:row r="13" ht="62" customHeight="1">
      <x:c r="A13" s="78" t="str">
        <x:v>T05</x:v>
      </x:c>
      <x:c r="B13" s="79" t="str">
        <x:v>Authentifizierung und Importvalidierung</x:v>
      </x:c>
      <x:c r="C13" s="116" t="str">
        <x:v>15.07.2026</x:v>
      </x:c>
      <x:c r="D13" s="79" t="str">
        <x:v>Unit-/Komponententests erfolgreich</x:v>
      </x:c>
      <x:c r="E13" s="79" t="str">
        <x:v>Abschlussnachweis erbracht</x:v>
      </x:c>
      <x:c r="F13" s="79" t="str">
        <x:v>Bestanden</x:v>
      </x:c>
      <x:c r="G13" s="80" t="str">
        <x:v>Keine</x:v>
      </x:c>
    </x:row>
    <x:row r="14" ht="62" customHeight="1">
      <x:c r="A14" s="78" t="str">
        <x:v>T06</x:v>
      </x:c>
      <x:c r="B14" s="79" t="str">
        <x:v>Sammlung, Details und Listen</x:v>
      </x:c>
      <x:c r="C14" s="116" t="str">
        <x:v>15.07.2026</x:v>
      </x:c>
      <x:c r="D14" s="79" t="str">
        <x:v>Komponenten und Logik durch Tests abgedeckt</x:v>
      </x:c>
      <x:c r="E14" s="79" t="str">
        <x:v>Abschlussnachweis erbracht</x:v>
      </x:c>
      <x:c r="F14" s="79" t="str">
        <x:v>Bestanden</x:v>
      </x:c>
      <x:c r="G14" s="80" t="str">
        <x:v>Keine</x:v>
      </x:c>
    </x:row>
    <x:row r="15" ht="62" customHeight="1">
      <x:c r="A15" s="78" t="str">
        <x:v>T07</x:v>
      </x:c>
      <x:c r="B15" s="79" t="str">
        <x:v>Projektabschluss</x:v>
      </x:c>
      <x:c r="C15" s="116" t="str">
        <x:v>15.07.2026</x:v>
      </x:c>
      <x:c r="D15" s="79" t="str">
        <x:v>Projektarbeit abgeschlossen</x:v>
      </x:c>
      <x:c r="E15" s="79" t="str">
        <x:v>Abschluss dokumentiert</x:v>
      </x:c>
      <x:c r="F15" s="79" t="str">
        <x:v>Bestanden</x:v>
      </x:c>
      <x:c r="G15" s="80" t="str">
        <x:v>Keine</x:v>
      </x:c>
    </x:row>
    <x:row r="16" ht="62" customHeight="1">
      <x:c r="A16" s="81" t="str">
        <x:v>T08</x:v>
      </x:c>
      <x:c r="B16" s="82" t="str">
        <x:v>Dokumentationsprüfung</x:v>
      </x:c>
      <x:c r="C16" s="151" t="str">
        <x:v>15.07.2026</x:v>
      </x:c>
      <x:c r="D16" s="82" t="str">
        <x:v>PSP, Pflichtenheft und Abschlussbericht vollständig</x:v>
      </x:c>
      <x:c r="E16" s="82" t="str">
        <x:v>Abgabeunterlagen vollständig</x:v>
      </x:c>
      <x:c r="F16" s="82" t="str">
        <x:v>Bestanden</x:v>
      </x:c>
      <x:c r="G16" s="83" t="str">
        <x:v>Keine</x:v>
      </x:c>
    </x:row>
  </x:sheetData>
  <x:mergeCells>
    <x:mergeCell ref="A1:G1"/>
  </x:mergeCells>
  <x:conditionalFormatting sqref="F9:F16">
    <x:cfRule type="containsText" dxfId="30" priority="1" operator="containsText" text="fertig"/>
    <x:cfRule type="containsText" dxfId="31" priority="2" operator="containsText" text="Nicht bestanden"/>
    <x:cfRule type="containsText" dxfId="32" priority="3" operator="containsText" text="Bestanden"/>
    <x:cfRule type="containsText" dxfId="33" priority="4" operator="containsText" text="teilweise"/>
    <x:cfRule type="containsText" dxfId="34" priority="5" operator="containsText" text="Vorbehalt"/>
    <x:cfRule type="containsText" dxfId="35" priority="6" operator="containsText" text="Offe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52" hidden="0" customWidth="1"/>
    <x:col min="4" max="4" width="20" hidden="0" customWidth="1"/>
  </x:cols>
  <x:sheetData>
    <x:row r="1" ht="30" customHeight="1">
      <x:c r="A1" s="4" t="str">
        <x:v>Hinweise zur Verwendung – Longbox</x:v>
      </x:c>
    </x:row>
    <x:row r="3">
      <x:c r="A3" s="54" t="str">
        <x:v>Thema</x:v>
      </x:c>
      <x:c r="B3" s="55" t="str">
        <x:v>Hinweis</x:v>
      </x:c>
      <x:c r="C3" s="55" t="str">
        <x:v>Handlungsbedarf</x:v>
      </x:c>
      <x:c r="D3" s="56" t="str">
        <x:v>Status</x:v>
      </x:c>
    </x:row>
    <x:row r="4" ht="56" customHeight="1">
      <x:c r="A4" s="75" t="str">
        <x:v>Quellenbasis</x:v>
      </x:c>
      <x:c r="B4" s="76" t="str">
        <x:v>Repository, Git-Historie, README, Tests, Build und bereitgestellte BRP-Beispiele wurden ausgewertet.</x:v>
      </x:c>
      <x:c r="C4" s="76" t="str">
        <x:v>Bei Abweichung gelten offizielle Maßnahmendaten.</x:v>
      </x:c>
      <x:c r="D4" s="77" t="str">
        <x:v>Hinweis</x:v>
      </x:c>
    </x:row>
    <x:row r="5" ht="56" customHeight="1">
      <x:c r="A5" s="78" t="str">
        <x:v>Terminrekonstruktion</x:v>
      </x:c>
      <x:c r="B5" s="79" t="str">
        <x:v>Projektstart 12.05.2026 und Abschlussstand 15.07.2026 wurden aus der Repository-Historie abgeleitet.</x:v>
      </x:c>
      <x:c r="C5" s="79" t="str">
        <x:v>Offizielle Start-/Endtermine prüfen und ggf. ersetzen.</x:v>
      </x:c>
      <x:c r="D5" s="80" t="str">
        <x:v>prüfen</x:v>
      </x:c>
    </x:row>
    <x:row r="6" ht="56" customHeight="1">
      <x:c r="A6" s="78" t="str">
        <x:v>Aufwände</x:v>
      </x:c>
      <x:c r="B6" s="79" t="str">
        <x:v>Plan- und Ist-Aufwände sind plausible Rekonstruktionswerte, keine Zeiterfassung.</x:v>
      </x:c>
      <x:c r="C6" s="79" t="str">
        <x:v>Mit vorhandenen Stundennachweisen abgleichen.</x:v>
      </x:c>
      <x:c r="D6" s="80" t="str">
        <x:v>prüfen</x:v>
      </x:c>
    </x:row>
    <x:row r="7" ht="56" customHeight="1">
      <x:c r="A7" s="78" t="str">
        <x:v>Auftraggeberdaten</x:v>
      </x:c>
      <x:c r="B7" s="79" t="str">
        <x:v>Maßnahmeträger und Fachbetreuung waren nicht angegeben.</x:v>
      </x:c>
      <x:c r="C7" s="79" t="str">
        <x:v>Namen vor formaler Abgabe ergänzen.</x:v>
      </x:c>
      <x:c r="D7" s="80" t="str">
        <x:v>ergänzen</x:v>
      </x:c>
    </x:row>
    <x:row r="8" ht="56" customHeight="1">
      <x:c r="A8" s="78" t="str">
        <x:v>Technischer Status</x:v>
      </x:c>
      <x:c r="B8" s="79" t="str">
        <x:v>Projektarbeit abgeschlossen; Build und 107 Tests erfolgreich.</x:v>
      </x:c>
      <x:c r="C8" s="79" t="str">
        <x:v>Keine offenen Restpunkte im Projektumfang.</x:v>
      </x:c>
      <x:c r="D8" s="80" t="str">
        <x:v>abgeschlossen</x:v>
      </x:c>
    </x:row>
    <x:row r="9" ht="56" customHeight="1">
      <x:c r="A9" s="78" t="str">
        <x:v>Statusfarben</x:v>
      </x:c>
      <x:c r="B9" s="79" t="str">
        <x:v>Grün = abgeschlossen/bestanden, Gelb = prüfen, Rot = offen.</x:v>
      </x:c>
      <x:c r="C9" s="79" t="str">
        <x:v>Keine.</x:v>
      </x:c>
      <x:c r="D9" s="80" t="str">
        <x:v>Hinweis</x:v>
      </x:c>
    </x:row>
    <x:row r="10" ht="56" customHeight="1">
      <x:c r="A10" s="81" t="str">
        <x:v>Version</x:v>
      </x:c>
      <x:c r="B10" s="82" t="str">
        <x:v>Diese Datei dokumentiert Version 1.0 mit Stand 15.07.2026.</x:v>
      </x:c>
      <x:c r="C10" s="82" t="str">
        <x:v>Nach Änderungen Historie und Stand aktualisieren.</x:v>
      </x:c>
      <x:c r="D10" s="83" t="str">
        <x:v>Hinweis</x:v>
      </x:c>
    </x:row>
  </x:sheetData>
  <x:mergeCells>
    <x:mergeCell ref="A1:D1"/>
  </x:mergeCells>
  <x:conditionalFormatting sqref="D4:D10">
    <x:cfRule type="containsText" dxfId="36" priority="1" operator="containsText" text="fertig"/>
    <x:cfRule type="containsText" dxfId="37" priority="2" operator="containsText" text="Nicht bestanden"/>
    <x:cfRule type="containsText" dxfId="38" priority="3" operator="containsText" text="Bestanden"/>
    <x:cfRule type="containsText" dxfId="39" priority="4" operator="containsText" text="teilweise"/>
    <x:cfRule type="containsText" dxfId="40" priority="5" operator="containsText" text="Vorbehalt"/>
    <x:cfRule type="containsText" dxfId="41" priority="6" operator="containsText" text="Offen"/>
  </x:conditionalFormatting>
  <x:conditionalFormatting sqref="D8:D8">
    <x:cfRule type="containsText" dxfId="43" priority="7" operator="containsText" text="abgeschlossen"/>
    <x:cfRule type="containsText" dxfId="45" priority="8" operator="containsText" text="abgeschlossen"/>
  </x:conditionalFormatting>
  <x:pageMargins left="0.7" right="0.7" top="0.75" bottom="0.75" header="0.3" footer="0.3"/>
</x:worksheet>
</file>